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olst\Desktop\Vietnam gas project\"/>
    </mc:Choice>
  </mc:AlternateContent>
  <xr:revisionPtr revIDLastSave="0" documentId="13_ncr:1_{A0E6B89C-2C87-4F64-9061-0598A014DCA8}" xr6:coauthVersionLast="47" xr6:coauthVersionMax="47" xr10:uidLastSave="{00000000-0000-0000-0000-000000000000}"/>
  <bookViews>
    <workbookView xWindow="19090" yWindow="118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" i="1" l="1"/>
  <c r="C18" i="1"/>
  <c r="C19" i="1" s="1"/>
  <c r="C20" i="1" s="1"/>
  <c r="H6" i="1"/>
  <c r="H8" i="1" s="1"/>
  <c r="H9" i="1" s="1"/>
  <c r="C7" i="1"/>
  <c r="C11" i="1" s="1"/>
</calcChain>
</file>

<file path=xl/sharedStrings.xml><?xml version="1.0" encoding="utf-8"?>
<sst xmlns="http://schemas.openxmlformats.org/spreadsheetml/2006/main" count="42" uniqueCount="28">
  <si>
    <t>2024 Gas GEN</t>
  </si>
  <si>
    <t>(TWh)</t>
  </si>
  <si>
    <t>MWh conversion</t>
  </si>
  <si>
    <t>MWh</t>
  </si>
  <si>
    <t>MW</t>
  </si>
  <si>
    <t>Capacity factor</t>
  </si>
  <si>
    <t>feels too low</t>
  </si>
  <si>
    <t>Capacity factor (CF) - using EMBER derived data</t>
  </si>
  <si>
    <t>Capacity factor (CF) using EVN data from 2022-2023 annual report</t>
  </si>
  <si>
    <t>2023 gas generation (million KWh)</t>
  </si>
  <si>
    <t>conversion into MWh</t>
  </si>
  <si>
    <t xml:space="preserve">Capacity factor </t>
  </si>
  <si>
    <t>Total MW installed cap (EVN)</t>
  </si>
  <si>
    <t>%</t>
  </si>
  <si>
    <t>This feels much more reasonable and its EVN data.</t>
  </si>
  <si>
    <t>Gem Installed cap</t>
  </si>
  <si>
    <t>Unit</t>
  </si>
  <si>
    <t>Param</t>
  </si>
  <si>
    <t>Val</t>
  </si>
  <si>
    <t>(Million KWh)</t>
  </si>
  <si>
    <t>conversion into mw</t>
  </si>
  <si>
    <t>Combining gem installed cap data with EVN data for gas gen</t>
  </si>
  <si>
    <t>EVN data provides the most accurate and reliable data for calculating the capacity factor for gas in vietnam (42.751%)</t>
  </si>
  <si>
    <t>However, I cant back this data up with generators</t>
  </si>
  <si>
    <t>So, I think the best way to go forward is use the value for installed cap from gem and the EVN value for total gas generation 2023 - gives a capacity factor 31.27% which is probably as good as im going to get</t>
  </si>
  <si>
    <t xml:space="preserve">No in fact -- I am going to take the EVN capacity factor of 42.75% to estimate across all the GEM plants. </t>
  </si>
  <si>
    <t>Now I can apply E=MF*SIY*CF to estimate tons/year emissions from each plant</t>
  </si>
  <si>
    <t>Total MW installed cap (gem)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</si>
</sst>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DFFE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3">
    <xf numFmtId="0" fontId="0" fillId="0" borderId="0" xfId="0"/>
    <xf numFmtId="0" fontId="0" fillId="2" borderId="0" xfId="0" applyFill="1" applyBorder="1"/>
    <xf numFmtId="10" fontId="0" fillId="2" borderId="0" xfId="0" applyNumberFormat="1" applyFill="1" applyBorder="1"/>
    <xf numFmtId="0" fontId="1" fillId="3" borderId="0" xfId="0" applyFont="1" applyFill="1" applyBorder="1"/>
    <xf numFmtId="170" fontId="1" fillId="3" borderId="0" xfId="0" applyNumberFormat="1" applyFont="1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11" xfId="0" applyFill="1" applyBorder="1"/>
    <xf numFmtId="0" fontId="0" fillId="2" borderId="12" xfId="0" applyFill="1" applyBorder="1"/>
    <xf numFmtId="0" fontId="4" fillId="3" borderId="12" xfId="0" applyFont="1" applyFill="1" applyBorder="1"/>
    <xf numFmtId="0" fontId="2" fillId="2" borderId="9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2" borderId="10" xfId="0" applyFill="1" applyBorder="1"/>
    <xf numFmtId="0" fontId="1" fillId="2" borderId="0" xfId="0" applyFont="1" applyFill="1" applyBorder="1"/>
    <xf numFmtId="0" fontId="1" fillId="2" borderId="6" xfId="0" applyFont="1" applyFill="1" applyBorder="1"/>
    <xf numFmtId="0" fontId="4" fillId="2" borderId="7" xfId="0" applyFont="1" applyFill="1" applyBorder="1"/>
    <xf numFmtId="0" fontId="1" fillId="2" borderId="8" xfId="0" applyFont="1" applyFill="1" applyBorder="1"/>
    <xf numFmtId="0" fontId="1" fillId="3" borderId="12" xfId="0" applyFont="1" applyFill="1" applyBorder="1"/>
    <xf numFmtId="0" fontId="0" fillId="3" borderId="14" xfId="0" applyFill="1" applyBorder="1" applyAlignment="1">
      <alignment wrapText="1"/>
    </xf>
    <xf numFmtId="0" fontId="0" fillId="3" borderId="15" xfId="0" applyFill="1" applyBorder="1" applyAlignment="1">
      <alignment wrapText="1"/>
    </xf>
    <xf numFmtId="0" fontId="0" fillId="3" borderId="16" xfId="0" applyFill="1" applyBorder="1" applyAlignment="1">
      <alignment wrapText="1"/>
    </xf>
    <xf numFmtId="0" fontId="0" fillId="3" borderId="6" xfId="0" applyFill="1" applyBorder="1"/>
    <xf numFmtId="0" fontId="4" fillId="2" borderId="12" xfId="0" applyFont="1" applyFill="1" applyBorder="1"/>
    <xf numFmtId="0" fontId="1" fillId="2" borderId="13" xfId="0" applyFont="1" applyFill="1" applyBorder="1"/>
    <xf numFmtId="170" fontId="1" fillId="2" borderId="7" xfId="0" applyNumberFormat="1" applyFont="1" applyFill="1" applyBorder="1"/>
    <xf numFmtId="0" fontId="2" fillId="2" borderId="13" xfId="0" applyFont="1" applyFill="1" applyBorder="1"/>
    <xf numFmtId="0" fontId="0" fillId="2" borderId="7" xfId="0" applyFill="1" applyBorder="1"/>
    <xf numFmtId="0" fontId="0" fillId="2" borderId="0" xfId="0" applyFill="1" applyBorder="1" applyAlignment="1">
      <alignment vertical="top" wrapText="1"/>
    </xf>
    <xf numFmtId="0" fontId="0" fillId="2" borderId="6" xfId="0" applyFill="1" applyBorder="1" applyAlignment="1">
      <alignment vertical="top" wrapText="1"/>
    </xf>
    <xf numFmtId="0" fontId="0" fillId="2" borderId="11" xfId="0" applyFill="1" applyBorder="1" applyAlignment="1">
      <alignment vertical="top" wrapText="1"/>
    </xf>
    <xf numFmtId="0" fontId="0" fillId="2" borderId="12" xfId="0" applyFill="1" applyBorder="1" applyAlignment="1">
      <alignment vertical="top" wrapText="1"/>
    </xf>
    <xf numFmtId="0" fontId="4" fillId="2" borderId="12" xfId="0" applyFont="1" applyFill="1" applyBorder="1" applyAlignment="1">
      <alignment vertical="top" wrapText="1"/>
    </xf>
    <xf numFmtId="0" fontId="1" fillId="2" borderId="0" xfId="0" applyFont="1" applyFill="1" applyBorder="1" applyAlignment="1">
      <alignment vertical="top" wrapText="1"/>
    </xf>
    <xf numFmtId="0" fontId="2" fillId="2" borderId="0" xfId="0" applyFont="1" applyFill="1" applyBorder="1" applyAlignment="1">
      <alignment vertical="top" wrapText="1"/>
    </xf>
    <xf numFmtId="0" fontId="1" fillId="2" borderId="13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0" fillId="2" borderId="8" xfId="0" applyFill="1" applyBorder="1" applyAlignment="1">
      <alignment vertical="top" wrapText="1"/>
    </xf>
    <xf numFmtId="0" fontId="2" fillId="2" borderId="9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0" fillId="2" borderId="10" xfId="0" applyFill="1" applyBorder="1" applyAlignment="1">
      <alignment horizontal="left" wrapText="1"/>
    </xf>
    <xf numFmtId="0" fontId="2" fillId="3" borderId="15" xfId="0" applyFont="1" applyFill="1" applyBorder="1" applyAlignment="1">
      <alignment wrapText="1"/>
    </xf>
    <xf numFmtId="0" fontId="2" fillId="3" borderId="6" xfId="0" applyFont="1" applyFill="1" applyBorder="1"/>
    <xf numFmtId="0" fontId="5" fillId="2" borderId="2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0" fontId="5" fillId="2" borderId="0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vertical="top" wrapText="1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DFF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lobalenergymonitor.org/projects/global-oil-gas-plant-tracker/" TargetMode="External"/><Relationship Id="rId2" Type="http://schemas.openxmlformats.org/officeDocument/2006/relationships/hyperlink" Target="https://en.evn.com.vn/en-US/bao-cao-thuong-nien/Annual-Report-60-13" TargetMode="External"/><Relationship Id="rId1" Type="http://schemas.openxmlformats.org/officeDocument/2006/relationships/hyperlink" Target="https://ember-energy.org/countries-and-regions/viet-na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2"/>
  <sheetViews>
    <sheetView tabSelected="1" zoomScale="85" zoomScaleNormal="85" workbookViewId="0">
      <selection activeCell="N16" sqref="N16"/>
    </sheetView>
  </sheetViews>
  <sheetFormatPr defaultRowHeight="14.5" x14ac:dyDescent="0.35"/>
  <cols>
    <col min="2" max="2" width="32.1796875" customWidth="1"/>
    <col min="3" max="3" width="12.1796875" bestFit="1" customWidth="1"/>
    <col min="4" max="4" width="11.54296875" bestFit="1" customWidth="1"/>
    <col min="5" max="5" width="9.81640625" bestFit="1" customWidth="1"/>
    <col min="7" max="7" width="56.7265625" bestFit="1" customWidth="1"/>
    <col min="8" max="8" width="12.36328125" bestFit="1" customWidth="1"/>
  </cols>
  <sheetData>
    <row r="1" spans="2:9" ht="15" thickBot="1" x14ac:dyDescent="0.4"/>
    <row r="2" spans="2:9" x14ac:dyDescent="0.35">
      <c r="B2" s="43" t="s">
        <v>7</v>
      </c>
      <c r="C2" s="44"/>
      <c r="D2" s="44"/>
      <c r="E2" s="45"/>
      <c r="G2" s="43" t="s">
        <v>8</v>
      </c>
      <c r="H2" s="44"/>
      <c r="I2" s="45"/>
    </row>
    <row r="3" spans="2:9" x14ac:dyDescent="0.35">
      <c r="B3" s="46"/>
      <c r="C3" s="47"/>
      <c r="D3" s="47"/>
      <c r="E3" s="48"/>
      <c r="G3" s="46"/>
      <c r="H3" s="47"/>
      <c r="I3" s="48"/>
    </row>
    <row r="4" spans="2:9" x14ac:dyDescent="0.35">
      <c r="B4" s="10" t="s">
        <v>17</v>
      </c>
      <c r="C4" s="11" t="s">
        <v>18</v>
      </c>
      <c r="D4" s="11" t="s">
        <v>16</v>
      </c>
      <c r="E4" s="12"/>
      <c r="G4" s="10" t="s">
        <v>17</v>
      </c>
      <c r="H4" s="11" t="s">
        <v>18</v>
      </c>
      <c r="I4" s="49" t="s">
        <v>16</v>
      </c>
    </row>
    <row r="5" spans="2:9" x14ac:dyDescent="0.35">
      <c r="B5" s="7"/>
      <c r="C5" s="2"/>
      <c r="D5" s="1"/>
      <c r="E5" s="5"/>
      <c r="G5" s="7" t="s">
        <v>9</v>
      </c>
      <c r="H5" s="1">
        <v>26784</v>
      </c>
      <c r="I5" s="5"/>
    </row>
    <row r="6" spans="2:9" x14ac:dyDescent="0.35">
      <c r="B6" s="8" t="s">
        <v>0</v>
      </c>
      <c r="C6" s="1">
        <v>19.899999999999999</v>
      </c>
      <c r="D6" s="1" t="s">
        <v>1</v>
      </c>
      <c r="E6" s="5"/>
      <c r="G6" s="8" t="s">
        <v>10</v>
      </c>
      <c r="H6" s="1">
        <f>H5*1000</f>
        <v>26784000</v>
      </c>
      <c r="I6" s="5" t="s">
        <v>3</v>
      </c>
    </row>
    <row r="7" spans="2:9" x14ac:dyDescent="0.35">
      <c r="B7" s="8" t="s">
        <v>2</v>
      </c>
      <c r="C7" s="1">
        <f>C6*1000*1000</f>
        <v>19900000</v>
      </c>
      <c r="D7" s="1" t="s">
        <v>3</v>
      </c>
      <c r="E7" s="5"/>
      <c r="G7" s="8" t="s">
        <v>12</v>
      </c>
      <c r="H7" s="1">
        <v>7152</v>
      </c>
      <c r="I7" s="5" t="s">
        <v>4</v>
      </c>
    </row>
    <row r="8" spans="2:9" x14ac:dyDescent="0.35">
      <c r="B8" s="8"/>
      <c r="C8" s="1"/>
      <c r="D8" s="2"/>
      <c r="E8" s="5"/>
      <c r="G8" s="9" t="s">
        <v>11</v>
      </c>
      <c r="H8" s="3">
        <f>H6/(H7*8760)</f>
        <v>0.42750758481198858</v>
      </c>
      <c r="I8" s="21"/>
    </row>
    <row r="9" spans="2:9" x14ac:dyDescent="0.35">
      <c r="B9" s="8" t="s">
        <v>27</v>
      </c>
      <c r="C9" s="1">
        <v>9770</v>
      </c>
      <c r="D9" s="1" t="s">
        <v>4</v>
      </c>
      <c r="E9" s="5"/>
      <c r="G9" s="17"/>
      <c r="H9" s="4">
        <f>H8*100</f>
        <v>42.750758481198858</v>
      </c>
      <c r="I9" s="42" t="s">
        <v>13</v>
      </c>
    </row>
    <row r="10" spans="2:9" ht="15" thickBot="1" x14ac:dyDescent="0.4">
      <c r="B10" s="22" t="s">
        <v>5</v>
      </c>
      <c r="C10" s="13">
        <f>C7/(C9*8760)</f>
        <v>0.23251683702322365</v>
      </c>
      <c r="D10" s="13"/>
      <c r="E10" s="14"/>
      <c r="G10" s="25" t="s">
        <v>14</v>
      </c>
      <c r="H10" s="26"/>
      <c r="I10" s="6"/>
    </row>
    <row r="11" spans="2:9" ht="15" thickBot="1" x14ac:dyDescent="0.4">
      <c r="B11" s="23"/>
      <c r="C11" s="24">
        <f>C10*100</f>
        <v>23.251683702322364</v>
      </c>
      <c r="D11" s="15" t="s">
        <v>6</v>
      </c>
      <c r="E11" s="16" t="s">
        <v>13</v>
      </c>
    </row>
    <row r="12" spans="2:9" ht="15" thickBot="1" x14ac:dyDescent="0.4"/>
    <row r="13" spans="2:9" ht="29.5" customHeight="1" thickBot="1" x14ac:dyDescent="0.4">
      <c r="G13" s="18" t="s">
        <v>22</v>
      </c>
    </row>
    <row r="14" spans="2:9" ht="29" customHeight="1" x14ac:dyDescent="0.35">
      <c r="B14" s="50" t="s">
        <v>21</v>
      </c>
      <c r="C14" s="51"/>
      <c r="D14" s="51"/>
      <c r="E14" s="52"/>
      <c r="G14" s="19" t="s">
        <v>23</v>
      </c>
    </row>
    <row r="15" spans="2:9" ht="58" customHeight="1" x14ac:dyDescent="0.35">
      <c r="B15" s="38" t="s">
        <v>17</v>
      </c>
      <c r="C15" s="39" t="s">
        <v>18</v>
      </c>
      <c r="D15" s="39" t="s">
        <v>16</v>
      </c>
      <c r="E15" s="40"/>
      <c r="G15" s="19" t="s">
        <v>24</v>
      </c>
    </row>
    <row r="16" spans="2:9" ht="29" x14ac:dyDescent="0.35">
      <c r="B16" s="29" t="s">
        <v>15</v>
      </c>
      <c r="C16" s="27">
        <v>9770</v>
      </c>
      <c r="D16" s="27" t="s">
        <v>4</v>
      </c>
      <c r="E16" s="28"/>
      <c r="G16" s="41" t="s">
        <v>25</v>
      </c>
    </row>
    <row r="17" spans="2:7" ht="29" x14ac:dyDescent="0.35">
      <c r="B17" s="8" t="s">
        <v>9</v>
      </c>
      <c r="C17" s="1">
        <v>26784</v>
      </c>
      <c r="D17" s="27" t="s">
        <v>19</v>
      </c>
      <c r="E17" s="28"/>
      <c r="G17" s="19" t="s">
        <v>26</v>
      </c>
    </row>
    <row r="18" spans="2:7" x14ac:dyDescent="0.35">
      <c r="B18" s="30" t="s">
        <v>20</v>
      </c>
      <c r="C18" s="27">
        <f>C17*1000</f>
        <v>26784000</v>
      </c>
      <c r="D18" s="27" t="s">
        <v>3</v>
      </c>
      <c r="E18" s="28"/>
      <c r="G18" s="19"/>
    </row>
    <row r="19" spans="2:7" x14ac:dyDescent="0.35">
      <c r="B19" s="31" t="s">
        <v>5</v>
      </c>
      <c r="C19" s="32">
        <f>C18/(C16*8765.8)</f>
        <v>0.31274423656299127</v>
      </c>
      <c r="D19" s="33"/>
      <c r="E19" s="28"/>
      <c r="G19" s="19"/>
    </row>
    <row r="20" spans="2:7" ht="15" thickBot="1" x14ac:dyDescent="0.4">
      <c r="B20" s="34"/>
      <c r="C20" s="35">
        <f>C19*100</f>
        <v>31.274423656299128</v>
      </c>
      <c r="D20" s="36" t="s">
        <v>13</v>
      </c>
      <c r="E20" s="37"/>
      <c r="G20" s="19"/>
    </row>
    <row r="21" spans="2:7" x14ac:dyDescent="0.35">
      <c r="G21" s="19"/>
    </row>
    <row r="22" spans="2:7" ht="15" thickBot="1" x14ac:dyDescent="0.4">
      <c r="G22" s="20"/>
    </row>
  </sheetData>
  <mergeCells count="3">
    <mergeCell ref="B14:E14"/>
    <mergeCell ref="B2:E3"/>
    <mergeCell ref="G2:I3"/>
  </mergeCells>
  <hyperlinks>
    <hyperlink ref="B2:E3" r:id="rId1" display="Capacity factor (CF) - using EMBER derived data" xr:uid="{6F738E7B-84EE-44AE-A0A7-E8E40B9C18B7}"/>
    <hyperlink ref="G2:I3" r:id="rId2" display="Capacity factor (CF) using EVN data from 2022-2023 annual report" xr:uid="{68BEE6C6-346A-406C-A259-E91EF64BF161}"/>
    <hyperlink ref="B14:E14" r:id="rId3" display="Combining gem installed cap data with EVN data for gas gen" xr:uid="{76F58DFC-8191-4E99-8C37-D98901060D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 Stappard</dc:creator>
  <cp:lastModifiedBy>Sol Stappard</cp:lastModifiedBy>
  <dcterms:created xsi:type="dcterms:W3CDTF">2015-06-05T18:17:20Z</dcterms:created>
  <dcterms:modified xsi:type="dcterms:W3CDTF">2025-12-12T02:33:49Z</dcterms:modified>
</cp:coreProperties>
</file>